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<sst xmlns="http://schemas.openxmlformats.org/spreadsheetml/2006/main" count="74" uniqueCount="60">
  <si>
    <t>Project Name: "TRIRATNA"</t>
  </si>
  <si>
    <t>Plot No. 164, RDP-7, Part-II, Sector-3, Charkop, Kandivali (West), Mumbai - 400067</t>
  </si>
  <si>
    <t>Expression of Interest in Proposed Self-Redevelopment</t>
  </si>
  <si>
    <t>Available Flat</t>
  </si>
  <si>
    <t>1302</t>
  </si>
  <si>
    <t>Payment Schedule For : 1302</t>
  </si>
  <si>
    <t>Configuration</t>
  </si>
  <si>
    <t>FP-7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</si>
  <si>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</si>
  <si>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</si>
  <si>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</si>
  <si>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</si>
  <si>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</si>
  <si>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</si>
  <si>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</si>
  <si>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</si>
  <si>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</si>
  <si>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</si>
  <si>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</si>
  <si>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</si>
  <si>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</si>
  <si>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</si>
  <si>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</si>
  <si>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</si>
  <si>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</si>
  <si>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</si>
  <si>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</si>
  <si>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</si>
  <si>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</si>
  <si>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</si>
  <si>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</si>
  <si>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</si>
  <si>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</si>
  <si>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</si>
  <si>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</si>
  <si>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</si>
  <si>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</si>
  <si>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</si>
  <si>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</si>
  <si>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</si>
  <si>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</si>
  <si>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</si>
  <si>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</si>
  <si>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</si>
  <si>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Registration Charges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</si>
  <si>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</si>
  <si>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</si>
  <si>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</si>
  <si>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</si>
  <si>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</si>
  <si>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</si>
  <si>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TRIRATNA</t>
  </si>
  <si>
    <t>Authorised Signatory</t>
  </si>
  <si>
    <t>I/We hear by accept and confirm the terms</t>
  </si>
  <si>
    <t>Name</t>
  </si>
  <si>
    <t>Nishantrrr Morer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</si>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</sst>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3590.85</v>
      </c>
      <c r="K6" s="9">
        <f>J6*0.01</f>
        <v>35.91</v>
      </c>
      <c r="L6" s="9">
        <f>J6*0.05</f>
        <v>179.54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718.17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7181.7</v>
      </c>
      <c r="K7" s="9">
        <f>J7*0.01</f>
        <v>71.82</v>
      </c>
      <c r="L7" s="9">
        <f>J7*0.05</f>
        <v>359.08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5386.27</v>
      </c>
      <c r="K8" s="9">
        <f>J8*0.01</f>
        <v>53.86</v>
      </c>
      <c r="L8" s="9">
        <f>J8*0.05</f>
        <v>269.31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8977.13</v>
      </c>
      <c r="K9" s="9">
        <f>J9*0.01</f>
        <v>89.77</v>
      </c>
      <c r="L9" s="9">
        <f>J9*0.05</f>
        <v>448.86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35908.5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3590.85</v>
      </c>
      <c r="K10" s="9">
        <f>J10*0.01</f>
        <v>35.91</v>
      </c>
      <c r="L10" s="9">
        <f>J10*0.05</f>
        <v>179.54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3590.85</v>
      </c>
      <c r="K11" s="9">
        <f>J11*0.01</f>
        <v>35.91</v>
      </c>
      <c r="L11" s="9">
        <f>J11*0.05</f>
        <v>179.54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0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1795.42</v>
      </c>
      <c r="K12" s="9">
        <f>J12*0.01</f>
        <v>17.95</v>
      </c>
      <c r="L12" s="9">
        <f>J12*0.05</f>
        <v>89.77</v>
      </c>
    </row>
    <row r="13" spans="1:12" x14ac:dyDescent="0.25">
      <c r="B13" s="7" t="s">
        <v>37</v>
      </c>
      <c r="C13" s="7" t="s">
        <v>30</v>
      </c>
      <c r="D13" s="9">
        <v>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1795.42</v>
      </c>
      <c r="K13" s="9">
        <f>J13*0.01</f>
        <v>17.95</v>
      </c>
      <c r="L13" s="9">
        <f>J13*0.05</f>
        <v>89.77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35908.5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1795.42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2154.51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50000</v>
      </c>
      <c r="F20" s="7"/>
      <c r="G20" s="7"/>
      <c r="H20" s="7"/>
      <c r="I20" s="7"/>
      <c r="J20" s="7"/>
      <c r="K20" s="7"/>
      <c r="L20" s="7"/>
    </row>
    <row r="21" spans="1:12" x14ac:dyDescent="0.25">
      <c r="A21" s="7" t="s">
        <v>45</v>
      </c>
      <c r="B21" s="4" t="s">
        <v>46</v>
      </c>
      <c r="C21" s="7" t="s">
        <v>30</v>
      </c>
      <c r="D21" s="10">
        <f>SUM(D18:D20)</f>
        <v>3949.93</v>
      </c>
      <c r="F21" s="7"/>
      <c r="G21" s="7"/>
      <c r="H21" s="7"/>
      <c r="I21" s="7"/>
      <c r="J21" s="7"/>
      <c r="K21" s="7"/>
      <c r="L21" s="7"/>
    </row>
    <row r="22" spans="6:12" x14ac:dyDescent="0.25">
      <c r="F22" s="7"/>
      <c r="G22" s="7"/>
      <c r="H22" s="7"/>
      <c r="I22" s="7"/>
      <c r="J22" s="7"/>
      <c r="K22" s="7"/>
      <c r="L22" s="7"/>
    </row>
    <row r="23" spans="1:12" x14ac:dyDescent="0.25">
      <c r="A23" s="11" t="s">
        <v>47</v>
      </c>
      <c r="B23" s="11" t="s">
        <v>48</v>
      </c>
      <c r="C23" s="11" t="s">
        <v>30</v>
      </c>
      <c r="D23" s="12">
        <f>D15+D21</f>
        <v>39858.43</v>
      </c>
      <c r="F23" s="11" t="s">
        <v>49</v>
      </c>
      <c r="G23" s="11"/>
      <c r="H23" s="11"/>
      <c r="I23" s="13">
        <f>SUM(G6:G13)</f>
        <v>1</v>
      </c>
      <c r="J23" s="12">
        <f>SUM(J6:J13)</f>
        <v>35908.49</v>
      </c>
      <c r="K23" s="12">
        <f>SUM(K6:K13)</f>
        <v>359.08</v>
      </c>
      <c r="L23" s="12">
        <f>SUM(L6:L13)</f>
        <v>1795.41</v>
      </c>
    </row>
    <row r="24" spans="6:12" x14ac:dyDescent="0.25">
      <c r="F24" s="14" t="s">
        <v>50</v>
      </c>
      <c r="G24" s="14"/>
      <c r="H24" s="14"/>
      <c r="I24" s="14"/>
      <c r="J24" s="14"/>
      <c r="K24" s="14"/>
      <c r="L24" s="14"/>
    </row>
    <row r="25" spans="2:12" x14ac:dyDescent="0.25">
      <c r="B25" s="15" t="s">
        <v>51</v>
      </c>
      <c r="C25" s="15"/>
      <c r="D25" s="15"/>
      <c r="F25" s="14"/>
      <c r="G25" s="14"/>
      <c r="H25" s="14"/>
      <c r="I25" s="14"/>
      <c r="J25" s="14"/>
      <c r="K25" s="14"/>
      <c r="L25" s="14"/>
    </row>
    <row r="29" spans="2:4" x14ac:dyDescent="0.25">
      <c r="B29" s="15" t="s">
        <v>52</v>
      </c>
      <c r="C29" s="15"/>
      <c r="D29" s="15"/>
    </row>
    <row r="31" spans="1:4" x14ac:dyDescent="0.25">
      <c r="A31" s="4" t="s">
        <v>53</v>
      </c>
      <c r="B31" s="4"/>
      <c r="C31" s="4"/>
      <c r="D31" s="4"/>
    </row>
    <row r="32" spans="1:4" x14ac:dyDescent="0.25">
      <c r="A32" s="4" t="s">
        <v>54</v>
      </c>
      <c r="B32" s="16" t="s">
        <v>55</v>
      </c>
      <c r="C32" s="16"/>
      <c r="D32" s="16"/>
    </row>
    <row r="33" spans="1:4" x14ac:dyDescent="0.25">
      <c r="A33" s="4" t="s">
        <v>56</v>
      </c>
      <c r="B33" s="7"/>
      <c r="C33" s="4" t="s">
        <v>57</v>
      </c>
      <c r="D33" s="7" t="s">
        <v>58</v>
      </c>
    </row>
    <row r="35" spans="1:12" x14ac:dyDescent="0.25">
      <c r="A35" s="17" t="s">
        <v>59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3:H23"/>
    <mergeCell ref="F24:L25"/>
    <mergeCell ref="B25:D25"/>
    <mergeCell ref="B29:D29"/>
    <mergeCell ref="A31:D31"/>
    <mergeCell ref="B32:D32"/>
    <mergeCell ref="A35:L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2026-09-22T07:46:05Z</dcterms:created>
  <dcterms:modified xsi:type="dcterms:W3CDTF">2026-09-22T07:46:05Z</dcterms:modified>
</cp:coreProperties>
</file>