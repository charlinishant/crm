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<sst xmlns="http://schemas.openxmlformats.org/spreadsheetml/2006/main" count="84" uniqueCount="65">
  <si>
    <t>Project Name: "SHREE GANESH"</t>
  </si>
  <si>
    <t>Charkop, Kandivali West</t>
  </si>
  <si>
    <t>Expression of Interest in Proposed Self-Redevelopment</t>
  </si>
  <si>
    <t>Available Flat</t>
  </si>
  <si>
    <t>2003</t>
  </si>
  <si>
    <t>Payment Schedule For : 2003</t>
  </si>
  <si>
    <t>Configuration</t>
  </si>
  <si>
    <t>FP-2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</si>
  <si>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</si>
  <si>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</si>
  <si>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</si>
  <si>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</si>
  <si>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</si>
  <si>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</si>
  <si>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</si>
  <si>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</si>
  <si>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</si>
  <si>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</si>
  <si>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</si>
  <si>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</si>
  <si>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</si>
  <si>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</si>
  <si>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</si>
  <si>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</si>
  <si>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</si>
  <si>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</si>
  <si>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</si>
  <si>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</si>
  <si>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</si>
  <si>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</si>
  <si>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</si>
  <si>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</si>
  <si>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</si>
  <si>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</si>
  <si>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</si>
  <si>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</si>
  <si>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</si>
  <si>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</si>
  <si>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</si>
  <si>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</si>
  <si>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</si>
  <si>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</si>
  <si>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</si>
  <si>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</si>
  <si>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</si>
  <si>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</si>
  <si>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Infrastructure/Development Charges</t>
  </si>
  <si>
    <t>Society Formation Charges</t>
  </si>
  <si>
    <t>Club Membership Charges</t>
  </si>
  <si>
    <t>Sinking Fund/Corpus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</si>
  <si>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</si>
  <si>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</si>
  <si>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</si>
  <si>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</si>
  <si>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</si>
  <si>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</si>
  <si>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SHREE GANESH</t>
  </si>
  <si>
    <t>Authorised Signatory</t>
  </si>
  <si>
    <t>I/We hear by accept and confirm the terms</t>
  </si>
  <si>
    <t>Name</t>
  </si>
  <si>
    <t>Ayaan Verma</t>
  </si>
  <si>
    <t>Sign</t>
  </si>
  <si>
    <t>Date</t>
  </si>
  <si>
    <t>30/9/2026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</si>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</sst>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1054.8</v>
      </c>
      <c r="K6" s="9">
        <f>J6*0.01</f>
        <v>10.55</v>
      </c>
      <c r="L6" s="9">
        <f>J6*0.05</f>
        <v>52.74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1024.41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2109.6</v>
      </c>
      <c r="K7" s="9">
        <f>J7*0.01</f>
        <v>21.1</v>
      </c>
      <c r="L7" s="9">
        <f>J7*0.05</f>
        <v>105.48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18750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1582.2</v>
      </c>
      <c r="K8" s="9">
        <f>J8*0.01</f>
        <v>15.82</v>
      </c>
      <c r="L8" s="9">
        <f>J8*0.05</f>
        <v>79.11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2637</v>
      </c>
      <c r="K9" s="9">
        <f>J9*0.01</f>
        <v>26.37</v>
      </c>
      <c r="L9" s="9">
        <f>J9*0.05</f>
        <v>131.85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19207687.5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1054.8</v>
      </c>
      <c r="K10" s="9">
        <f>J10*0.01</f>
        <v>10.55</v>
      </c>
      <c r="L10" s="9">
        <f>J10*0.05</f>
        <v>52.74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1054.8</v>
      </c>
      <c r="K11" s="9">
        <f>J11*0.01</f>
        <v>10.55</v>
      </c>
      <c r="L11" s="9">
        <f>J11*0.05</f>
        <v>52.74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527.4</v>
      </c>
      <c r="K12" s="9">
        <f>J12*0.01</f>
        <v>5.27</v>
      </c>
      <c r="L12" s="9">
        <f>J12*0.05</f>
        <v>26.37</v>
      </c>
    </row>
    <row r="13" spans="1:12" x14ac:dyDescent="0.25">
      <c r="B13" s="7" t="s">
        <v>37</v>
      </c>
      <c r="C13" s="7" t="s">
        <v>30</v>
      </c>
      <c r="D13" s="9">
        <v>10548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527.4</v>
      </c>
      <c r="K13" s="9">
        <f>J13*0.01</f>
        <v>5.27</v>
      </c>
      <c r="L13" s="9">
        <f>J13*0.05</f>
        <v>26.37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19218235.5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527.4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632.88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0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0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0</v>
      </c>
      <c r="F22" s="7"/>
      <c r="G22" s="7"/>
      <c r="H22" s="7"/>
      <c r="I22" s="7"/>
      <c r="J22" s="7"/>
      <c r="K22" s="7"/>
      <c r="L22" s="7"/>
    </row>
    <row r="23" spans="1:12" x14ac:dyDescent="0.25">
      <c r="A23" s="7">
        <v>6</v>
      </c>
      <c r="B23" s="7" t="s">
        <v>47</v>
      </c>
      <c r="C23" s="7" t="s">
        <v>30</v>
      </c>
      <c r="D23" s="9">
        <v>0</v>
      </c>
      <c r="F23" s="7"/>
      <c r="G23" s="7"/>
      <c r="H23" s="7"/>
      <c r="I23" s="7"/>
      <c r="J23" s="7"/>
      <c r="K23" s="7"/>
      <c r="L23" s="7"/>
    </row>
    <row r="24" spans="1:12" x14ac:dyDescent="0.25">
      <c r="A24" s="7">
        <v>7</v>
      </c>
      <c r="B24" s="7" t="s">
        <v>48</v>
      </c>
      <c r="C24" s="7" t="s">
        <v>30</v>
      </c>
      <c r="D24" s="9">
        <v>0</v>
      </c>
      <c r="F24" s="7"/>
      <c r="G24" s="7"/>
      <c r="H24" s="7"/>
      <c r="I24" s="7"/>
      <c r="J24" s="7"/>
      <c r="K24" s="7"/>
      <c r="L24" s="7"/>
    </row>
    <row r="25" spans="1:12" x14ac:dyDescent="0.25">
      <c r="A25" s="7">
        <v>8</v>
      </c>
      <c r="B25" s="7" t="s">
        <v>49</v>
      </c>
      <c r="C25" s="7" t="s">
        <v>30</v>
      </c>
      <c r="D25" s="9">
        <v>0</v>
      </c>
      <c r="F25" s="7"/>
      <c r="G25" s="7"/>
      <c r="H25" s="7"/>
      <c r="I25" s="7"/>
      <c r="J25" s="7"/>
      <c r="K25" s="7"/>
      <c r="L25" s="7"/>
    </row>
    <row r="26" spans="1:12" x14ac:dyDescent="0.25">
      <c r="A26" s="7" t="s">
        <v>50</v>
      </c>
      <c r="B26" s="4" t="s">
        <v>51</v>
      </c>
      <c r="C26" s="7" t="s">
        <v>30</v>
      </c>
      <c r="D26" s="10">
        <f>SUM(D18:D25)</f>
        <v>1160.28</v>
      </c>
      <c r="F26" s="7"/>
      <c r="G26" s="7"/>
      <c r="H26" s="7"/>
      <c r="I26" s="7"/>
      <c r="J26" s="7"/>
      <c r="K26" s="7"/>
      <c r="L26" s="7"/>
    </row>
    <row r="27" spans="1:12" x14ac:dyDescent="0.25">
      <c r="A27" s="11" t="s">
        <v>52</v>
      </c>
      <c r="B27" s="11" t="s">
        <v>53</v>
      </c>
      <c r="C27" s="11" t="s">
        <v>30</v>
      </c>
      <c r="D27" s="12">
        <f>D15+D26</f>
        <v>19219395.78</v>
      </c>
      <c r="F27" s="11" t="s">
        <v>54</v>
      </c>
      <c r="G27" s="11"/>
      <c r="H27" s="11"/>
      <c r="I27" s="13">
        <f>SUM(G6:G13)</f>
        <v>1</v>
      </c>
      <c r="J27" s="12">
        <f>SUM(J6:J13)</f>
        <v>10548</v>
      </c>
      <c r="K27" s="12">
        <f>SUM(K6:K13)</f>
        <v>105.48</v>
      </c>
      <c r="L27" s="12">
        <f>SUM(L6:L13)</f>
        <v>527.4</v>
      </c>
    </row>
    <row r="28" spans="6:12" x14ac:dyDescent="0.25">
      <c r="F28" s="14" t="s">
        <v>55</v>
      </c>
      <c r="G28" s="14"/>
      <c r="H28" s="14"/>
      <c r="I28" s="14"/>
      <c r="J28" s="14"/>
      <c r="K28" s="14"/>
      <c r="L28" s="14"/>
    </row>
    <row r="29" spans="2:12" x14ac:dyDescent="0.25">
      <c r="B29" s="15" t="s">
        <v>56</v>
      </c>
      <c r="C29" s="15"/>
      <c r="D29" s="15"/>
      <c r="F29" s="14"/>
      <c r="G29" s="14"/>
      <c r="H29" s="14"/>
      <c r="I29" s="14"/>
      <c r="J29" s="14"/>
      <c r="K29" s="14"/>
      <c r="L29" s="14"/>
    </row>
    <row r="33" spans="2:4" x14ac:dyDescent="0.25">
      <c r="B33" s="15" t="s">
        <v>57</v>
      </c>
      <c r="C33" s="15"/>
      <c r="D33" s="15"/>
    </row>
    <row r="35" spans="1:4" x14ac:dyDescent="0.25">
      <c r="A35" s="4" t="s">
        <v>58</v>
      </c>
      <c r="B35" s="4"/>
      <c r="C35" s="4"/>
      <c r="D35" s="4"/>
    </row>
    <row r="36" spans="1:4" x14ac:dyDescent="0.25">
      <c r="A36" s="4" t="s">
        <v>59</v>
      </c>
      <c r="B36" s="16" t="s">
        <v>60</v>
      </c>
      <c r="C36" s="16"/>
      <c r="D36" s="16"/>
    </row>
    <row r="37" spans="1:4" x14ac:dyDescent="0.25">
      <c r="A37" s="4" t="s">
        <v>61</v>
      </c>
      <c r="B37" s="7"/>
      <c r="C37" s="4" t="s">
        <v>62</v>
      </c>
      <c r="D37" s="7" t="s">
        <v>63</v>
      </c>
    </row>
    <row r="39" spans="1:12" x14ac:dyDescent="0.25">
      <c r="A39" s="17" t="s">
        <v>64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7:H27"/>
    <mergeCell ref="F28:L29"/>
    <mergeCell ref="B29:D29"/>
    <mergeCell ref="B33:D33"/>
    <mergeCell ref="A35:D35"/>
    <mergeCell ref="B36:D36"/>
    <mergeCell ref="A39:L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2026-09-30T10:50:17Z</dcterms:created>
  <dcterms:modified xsi:type="dcterms:W3CDTF">2026-09-30T10:50:17Z</dcterms:modified>
</cp:coreProperties>
</file>