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<sst xmlns="http://schemas.openxmlformats.org/spreadsheetml/2006/main" count="78" uniqueCount="62">
  <si>
    <t>Project Name: "MANGAS"</t>
  </si>
  <si>
    <t>Charkop, Kandivali West</t>
  </si>
  <si>
    <t>Expression of Interest in Proposed Self-Redevelopment</t>
  </si>
  <si>
    <t>Available Shop</t>
  </si>
  <si>
    <t>2004</t>
  </si>
  <si>
    <t>Payment Schedule For : 2004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</si>
  <si>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</si>
  <si>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</si>
  <si>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</si>
  <si>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</si>
  <si>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</si>
  <si>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</si>
  <si>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</si>
  <si>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</si>
  <si>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</si>
  <si>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</si>
  <si>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</si>
  <si>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</si>
  <si>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</si>
  <si>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</si>
  <si>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</si>
  <si>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</si>
  <si>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</si>
  <si>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</si>
  <si>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</si>
  <si>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</si>
  <si>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</si>
  <si>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</si>
  <si>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</si>
  <si>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</si>
  <si>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</si>
  <si>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</si>
  <si>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</si>
  <si>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</si>
  <si>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</si>
  <si>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</si>
  <si>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</si>
  <si>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</si>
  <si>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</si>
  <si>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</si>
  <si>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</si>
  <si>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</si>
  <si>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</si>
  <si>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</si>
  <si>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</si>
  <si>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</si>
  <si>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jighe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</si>
  <si>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</si>
  <si>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</si>
  <si>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</si>
  <si>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</si>
  <si>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</si>
  <si>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</si>
  <si>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</si>
  <si>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</si>
  <si>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</si>
  <si>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</si>
  <si>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Pallavi Khirnar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</si>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</sst>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13522</v>
      </c>
      <c r="K6" s="9">
        <f>J6*0.01</f>
        <v>135.22</v>
      </c>
      <c r="L6" s="9">
        <f>J6*0.05</f>
        <v>676.1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520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27044</v>
      </c>
      <c r="K7" s="9">
        <f>J7*0.01</f>
        <v>270.44</v>
      </c>
      <c r="L7" s="9">
        <f>J7*0.05</f>
        <v>1352.2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58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20283</v>
      </c>
      <c r="K8" s="9">
        <f>J8*0.01</f>
        <v>202.83</v>
      </c>
      <c r="L8" s="9">
        <f>J8*0.05</f>
        <v>1014.15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33805</v>
      </c>
      <c r="K9" s="9">
        <f>J9*0.01</f>
        <v>338.05</v>
      </c>
      <c r="L9" s="9">
        <f>J9*0.05</f>
        <v>1690.25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30160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13522</v>
      </c>
      <c r="K10" s="9">
        <f>J10*0.01</f>
        <v>135.22</v>
      </c>
      <c r="L10" s="9">
        <f>J10*0.05</f>
        <v>676.1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13522</v>
      </c>
      <c r="K11" s="9">
        <f>J11*0.01</f>
        <v>135.22</v>
      </c>
      <c r="L11" s="9">
        <f>J11*0.05</f>
        <v>676.1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6761</v>
      </c>
      <c r="K12" s="9">
        <f>J12*0.01</f>
        <v>67.61</v>
      </c>
      <c r="L12" s="9">
        <f>J12*0.05</f>
        <v>338.05</v>
      </c>
    </row>
    <row r="13" spans="1:12" x14ac:dyDescent="0.25">
      <c r="B13" s="7" t="s">
        <v>37</v>
      </c>
      <c r="C13" s="7" t="s">
        <v>30</v>
      </c>
      <c r="D13" s="9">
        <v>105060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6761</v>
      </c>
      <c r="K13" s="9">
        <f>J13*0.01</f>
        <v>67.61</v>
      </c>
      <c r="L13" s="9">
        <f>J13*0.05</f>
        <v>338.05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135220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6761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8113.2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48512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58201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25103</v>
      </c>
      <c r="F22" s="7"/>
      <c r="G22" s="7"/>
      <c r="H22" s="7"/>
      <c r="I22" s="7"/>
      <c r="J22" s="7"/>
      <c r="K22" s="7"/>
      <c r="L22" s="7"/>
    </row>
    <row r="23" spans="1:12" x14ac:dyDescent="0.25">
      <c r="A23" s="7" t="s">
        <v>47</v>
      </c>
      <c r="B23" s="4" t="s">
        <v>48</v>
      </c>
      <c r="C23" s="7" t="s">
        <v>30</v>
      </c>
      <c r="D23" s="10">
        <f>SUM(D18:D22)</f>
        <v>146690.2</v>
      </c>
      <c r="F23" s="7"/>
      <c r="G23" s="7"/>
      <c r="H23" s="7"/>
      <c r="I23" s="7"/>
      <c r="J23" s="7"/>
      <c r="K23" s="7"/>
      <c r="L23" s="7"/>
    </row>
    <row r="24" spans="1:12" x14ac:dyDescent="0.25">
      <c r="A24" s="11" t="s">
        <v>49</v>
      </c>
      <c r="B24" s="11" t="s">
        <v>50</v>
      </c>
      <c r="C24" s="11" t="s">
        <v>30</v>
      </c>
      <c r="D24" s="12">
        <f>D15+D23</f>
        <v>281910.2</v>
      </c>
      <c r="F24" s="11" t="s">
        <v>51</v>
      </c>
      <c r="G24" s="11"/>
      <c r="H24" s="11"/>
      <c r="I24" s="13">
        <f>SUM(G6:G13)</f>
        <v>1</v>
      </c>
      <c r="J24" s="12">
        <f>SUM(J6:J13)</f>
        <v>135220</v>
      </c>
      <c r="K24" s="12">
        <f>SUM(K6:K13)</f>
        <v>1352.2</v>
      </c>
      <c r="L24" s="12">
        <f>SUM(L6:L13)</f>
        <v>6761</v>
      </c>
    </row>
    <row r="25" spans="6:12" x14ac:dyDescent="0.25">
      <c r="F25" s="14" t="s">
        <v>52</v>
      </c>
      <c r="G25" s="14"/>
      <c r="H25" s="14"/>
      <c r="I25" s="14"/>
      <c r="J25" s="14"/>
      <c r="K25" s="14"/>
      <c r="L25" s="14"/>
    </row>
    <row r="26" spans="2:12" x14ac:dyDescent="0.25">
      <c r="B26" s="15" t="s">
        <v>53</v>
      </c>
      <c r="C26" s="15"/>
      <c r="D26" s="15"/>
      <c r="F26" s="14"/>
      <c r="G26" s="14"/>
      <c r="H26" s="14"/>
      <c r="I26" s="14"/>
      <c r="J26" s="14"/>
      <c r="K26" s="14"/>
      <c r="L26" s="14"/>
    </row>
    <row r="30" spans="2:4" x14ac:dyDescent="0.25">
      <c r="B30" s="15" t="s">
        <v>54</v>
      </c>
      <c r="C30" s="15"/>
      <c r="D30" s="15"/>
    </row>
    <row r="32" spans="1:4" x14ac:dyDescent="0.25">
      <c r="A32" s="4" t="s">
        <v>55</v>
      </c>
      <c r="B32" s="4"/>
      <c r="C32" s="4"/>
      <c r="D32" s="4"/>
    </row>
    <row r="33" spans="1:4" x14ac:dyDescent="0.25">
      <c r="A33" s="4" t="s">
        <v>56</v>
      </c>
      <c r="B33" s="16" t="s">
        <v>57</v>
      </c>
      <c r="C33" s="16"/>
      <c r="D33" s="16"/>
    </row>
    <row r="34" spans="1:4" x14ac:dyDescent="0.25">
      <c r="A34" s="4" t="s">
        <v>58</v>
      </c>
      <c r="B34" s="7"/>
      <c r="C34" s="4" t="s">
        <v>59</v>
      </c>
      <c r="D34" s="7" t="s">
        <v>60</v>
      </c>
    </row>
    <row r="36" spans="1:12" x14ac:dyDescent="0.25">
      <c r="A36" s="17" t="s">
        <v>61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4:H24"/>
    <mergeCell ref="F25:L26"/>
    <mergeCell ref="B26:D26"/>
    <mergeCell ref="B30:D30"/>
    <mergeCell ref="A32:D32"/>
    <mergeCell ref="B33:D33"/>
    <mergeCell ref="A36:L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2026-09-23T06:04:51Z</dcterms:created>
  <dcterms:modified xsi:type="dcterms:W3CDTF">2026-09-23T06:04:51Z</dcterms:modified>
</cp:coreProperties>
</file>