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st Sheet &amp; Payment Schedule" state="visible" r:id="rId4"/>
  </sheets>
  <calcPr calcId="171027"/>
</workbook>
</file>

<file path=xl/sharedStrings.xml><?xml version="1.0" encoding="utf-8"?>
<sst xmlns="http://schemas.openxmlformats.org/spreadsheetml/2006/main" count="78" uniqueCount="62">
  <si>
    <t>Project Name: "MANGAS"</t>
  </si>
  <si>
    <t>Charkop, Kandivali West</t>
  </si>
  <si>
    <t>Expression of Interest in Proposed Self-Redevelopment</t>
  </si>
  <si>
    <t>Available Shop</t>
  </si>
  <si>
    <t>2004</t>
  </si>
  <si>
    <t>Payment Schedule For : 2004</t>
  </si>
  <si>
    <t>Configuration</t>
  </si>
  <si>
    <t>2 BHK</t>
  </si>
  <si>
    <t>Milestone</t>
  </si>
  <si>
    <t>Net</t>
  </si>
  <si>
    <t>Tentative</t>
  </si>
  <si>
    <t>Cuml.</t>
  </si>
  <si>
    <t>Amount</t>
  </si>
  <si>
    <t>TDS</t>
  </si>
  <si>
    <t>GST 5%</t>
  </si>
  <si>
    <t>Unit</t>
  </si>
  <si>
    <t>EOI</t>
  </si>
  <si>
    <t>Due</t>
  </si>
  <si>
    <t>A</t>
  </si>
  <si>
    <t>Flat Area</t>
  </si>
  <si>
    <t>SFt.</t>
  </si>
  <si>
    <t>On Registration of Sales Agreement</t>
  </si>
  <si>
    <t/>
  </si>
  <si>
    <t>B</t>
  </si>
  <si>
    <t>Flat Rate</t>
  </si>
  <si>
    <t>/SFt.</t>
  </si>
  <si>
    <t>On Completion of Plinth</t>
  </si>
  <si>
    <t>On Slab wise upto 14th Floor (due as per slab)***</t>
  </si>
  <si>
    <t>C</t>
  </si>
  <si>
    <t>Flat Cost</t>
  </si>
  <si>
    <t>Rs.</t>
  </si>
  <si>
    <t>On Execution of Internal Amenities of Flat</t>
  </si>
  <si>
    <t>On Execution of External Amenities of Flat</t>
  </si>
  <si>
    <t>D</t>
  </si>
  <si>
    <t>No. of Parking</t>
  </si>
  <si>
    <t>No</t>
  </si>
  <si>
    <t>On Execution of Lift &amp; Paint</t>
  </si>
  <si>
    <t>Parking Cost</t>
  </si>
  <si>
    <t>Before handing over or on receipt of OC</t>
  </si>
  <si>
    <t>E</t>
  </si>
  <si>
    <t>Total Flat Cost</t>
  </si>
  <si>
    <t>Other Cost</t>
  </si>
  <si>
    <t>GST @ 5%</t>
  </si>
  <si>
    <t>Stamp Duty 6%</t>
  </si>
  <si>
    <t>Legal Charges</t>
  </si>
  <si>
    <t>Registration Charges</t>
  </si>
  <si>
    <t>jighe</t>
  </si>
  <si>
    <t>F</t>
  </si>
  <si>
    <t>Sub Total</t>
  </si>
  <si>
    <t>G</t>
  </si>
  <si>
    <t>TOTAL ( E + F )</t>
  </si>
  <si>
    <t>Total</t>
  </si>
  <si>
    <t xml:space="preserve">GST &amp; Stamp Duty is as per the prevailing Govt. Norms.
Society Development charges shall be applicable at the time of possessions as decided by society proportionate to all.</t>
  </si>
  <si>
    <t>For mangas</t>
  </si>
  <si>
    <t>Authorised Signatory</t>
  </si>
  <si>
    <t>I/We hear by accept and confirm the terms</t>
  </si>
  <si>
    <t>Name</t>
  </si>
  <si>
    <t>Pallavi Khirnar</t>
  </si>
  <si>
    <t>Sign</t>
  </si>
  <si>
    <t>Date</t>
  </si>
  <si>
    <t>22/9/2026</t>
  </si>
  <si>
    <t>NOTE: Committee Reserve the rights to change the price, configuration if not booked (rates are for 7 days).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</si>
</sst>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8"/>
      <name val="Times New Roman"/>
    </font>
    <font>
      <sz val="11"/>
      <name val="Times New Roman"/>
    </font>
    <font>
      <sz val="10"/>
      <name val="Times New Roman"/>
    </font>
    <font>
      <b/>
    </font>
    <font>
      <b/>
      <sz val="12"/>
      <name val="Times New Roman"/>
    </font>
    <font>
      <b/>
      <name val="Times New Roman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FFE699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5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/>
    <xf numFmtId="9" fontId="0" fillId="0" borderId="1" xfId="0" applyNumberFormat="1" applyBorder="1"/>
    <xf numFmtId="4" fontId="0" fillId="0" borderId="1" xfId="0" applyNumberFormat="1" applyBorder="1"/>
    <xf numFmtId="4" fontId="4" fillId="0" borderId="1" xfId="0" applyNumberFormat="1" applyFont="1" applyBorder="1"/>
    <xf numFmtId="0" fontId="4" fillId="2" borderId="1" xfId="0" applyFont="1" applyFill="1" applyBorder="1"/>
    <xf numFmtId="4" fontId="4" fillId="2" borderId="1" xfId="0" applyNumberFormat="1" applyFont="1" applyFill="1" applyBorder="1"/>
    <xf numFmtId="9" fontId="4" fillId="2" borderId="1" xfId="0" applyNumberFormat="1" applyFont="1" applyFill="1" applyBorder="1"/>
    <xf numFmtId="0" fontId="7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workbookViewId="0"/>
  </sheetViews>
  <sheetFormatPr defaultRowHeight="20" outlineLevelRow="0" outlineLevelCol="0" x14ac:dyDescent="55" customHeight="1"/>
  <cols>
    <col min="1" max="1" width="4" customWidth="1"/>
    <col min="2" max="2" width="25" customWidth="1"/>
    <col min="3" max="3" width="10" customWidth="1"/>
    <col min="4" max="4" width="16" customWidth="1"/>
    <col min="5" max="5" width="2" customWidth="1"/>
    <col min="6" max="6" width="38" customWidth="1"/>
    <col min="7" max="7" width="8" customWidth="1"/>
    <col min="8" max="8" width="10" customWidth="1"/>
    <col min="9" max="9" width="8" customWidth="1"/>
    <col min="10" max="10" width="16" customWidth="1"/>
    <col min="11" max="11" width="12" customWidth="1"/>
    <col min="12" max="12" width="14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6:12" x14ac:dyDescent="0.25">
      <c r="F3" s="3" t="s">
        <v>2</v>
      </c>
      <c r="G3" s="3"/>
      <c r="H3" s="3"/>
      <c r="I3" s="3"/>
      <c r="J3" s="3"/>
      <c r="K3" s="3"/>
      <c r="L3" s="3"/>
    </row>
    <row r="4" spans="1:12" x14ac:dyDescent="0.25">
      <c r="A4" s="4">
        <v>1</v>
      </c>
      <c r="B4" s="4" t="s">
        <v>3</v>
      </c>
      <c r="C4" s="4" t="s">
        <v>4</v>
      </c>
      <c r="D4" s="4"/>
      <c r="F4" s="5" t="s">
        <v>5</v>
      </c>
      <c r="G4" s="5"/>
      <c r="H4" s="5"/>
      <c r="I4" s="5"/>
      <c r="J4" s="5"/>
      <c r="K4" s="5"/>
      <c r="L4" s="5"/>
    </row>
    <row r="5" spans="1:12" x14ac:dyDescent="0.25">
      <c r="A5" s="4">
        <v>2</v>
      </c>
      <c r="B5" s="4" t="s">
        <v>6</v>
      </c>
      <c r="C5" s="4" t="s">
        <v>7</v>
      </c>
      <c r="D5" s="4"/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</row>
    <row r="6" spans="3:12" x14ac:dyDescent="0.25">
      <c r="C6" s="4" t="s">
        <v>15</v>
      </c>
      <c r="D6" s="4" t="s">
        <v>12</v>
      </c>
      <c r="F6" s="7" t="s">
        <v>16</v>
      </c>
      <c r="G6" s="8">
        <v>0.1</v>
      </c>
      <c r="H6" s="7" t="s">
        <v>17</v>
      </c>
      <c r="I6" s="8">
        <f>SUM($G$6:G6)</f>
        <v>0.1</v>
      </c>
      <c r="J6" s="9">
        <f>$D$15*G6</f>
        <v>13522</v>
      </c>
      <c r="K6" s="9">
        <f>J6*0.01</f>
        <v>135.22</v>
      </c>
      <c r="L6" s="9">
        <f>J6*0.05</f>
        <v>676.1</v>
      </c>
    </row>
    <row r="7" spans="1:12" x14ac:dyDescent="0.25">
      <c r="A7" s="7" t="s">
        <v>18</v>
      </c>
      <c r="B7" s="7" t="s">
        <v>19</v>
      </c>
      <c r="C7" s="7" t="s">
        <v>20</v>
      </c>
      <c r="D7" s="9">
        <v>520</v>
      </c>
      <c r="F7" s="7" t="s">
        <v>21</v>
      </c>
      <c r="G7" s="8">
        <v>0.2</v>
      </c>
      <c r="H7" s="7" t="s">
        <v>22</v>
      </c>
      <c r="I7" s="8">
        <f>SUM($G$6:G7)</f>
        <v>0.3</v>
      </c>
      <c r="J7" s="9">
        <f>$D$15*G7</f>
        <v>27044</v>
      </c>
      <c r="K7" s="9">
        <f>J7*0.01</f>
        <v>270.44</v>
      </c>
      <c r="L7" s="9">
        <f>J7*0.05</f>
        <v>1352.2</v>
      </c>
    </row>
    <row r="8" spans="1:12" x14ac:dyDescent="0.25">
      <c r="A8" s="7" t="s">
        <v>23</v>
      </c>
      <c r="B8" s="7" t="s">
        <v>24</v>
      </c>
      <c r="C8" s="7" t="s">
        <v>25</v>
      </c>
      <c r="D8" s="9">
        <v>58</v>
      </c>
      <c r="F8" s="7" t="s">
        <v>26</v>
      </c>
      <c r="G8" s="8">
        <v>0.15</v>
      </c>
      <c r="H8" s="7" t="s">
        <v>22</v>
      </c>
      <c r="I8" s="8">
        <f>SUM($G$6:G8)</f>
        <v>0.45</v>
      </c>
      <c r="J8" s="9">
        <f>$D$15*G8</f>
        <v>20283</v>
      </c>
      <c r="K8" s="9">
        <f>J8*0.01</f>
        <v>202.83</v>
      </c>
      <c r="L8" s="9">
        <f>J8*0.05</f>
        <v>1014.15</v>
      </c>
    </row>
    <row r="9" spans="1:12" x14ac:dyDescent="0.25">
      <c r="F9" s="7" t="s">
        <v>27</v>
      </c>
      <c r="G9" s="8">
        <v>0.25</v>
      </c>
      <c r="H9" s="7" t="s">
        <v>22</v>
      </c>
      <c r="I9" s="8">
        <f>SUM($G$6:G9)</f>
        <v>0.7</v>
      </c>
      <c r="J9" s="9">
        <f>$D$15*G9</f>
        <v>33805</v>
      </c>
      <c r="K9" s="9">
        <f>J9*0.01</f>
        <v>338.05</v>
      </c>
      <c r="L9" s="9">
        <f>J9*0.05</f>
        <v>1690.25</v>
      </c>
    </row>
    <row r="10" spans="1:12" x14ac:dyDescent="0.25">
      <c r="A10" s="7" t="s">
        <v>28</v>
      </c>
      <c r="B10" s="4" t="s">
        <v>29</v>
      </c>
      <c r="C10" s="7" t="s">
        <v>30</v>
      </c>
      <c r="D10" s="10">
        <f>D7*D8</f>
        <v>30160</v>
      </c>
      <c r="F10" s="7" t="s">
        <v>31</v>
      </c>
      <c r="G10" s="8">
        <v>0.1</v>
      </c>
      <c r="H10" s="7" t="s">
        <v>22</v>
      </c>
      <c r="I10" s="8">
        <f>SUM($G$6:G10)</f>
        <v>0.8</v>
      </c>
      <c r="J10" s="9">
        <f>$D$15*G10</f>
        <v>13522</v>
      </c>
      <c r="K10" s="9">
        <f>J10*0.01</f>
        <v>135.22</v>
      </c>
      <c r="L10" s="9">
        <f>J10*0.05</f>
        <v>676.1</v>
      </c>
    </row>
    <row r="11" spans="1:12" x14ac:dyDescent="0.25">
      <c r="F11" s="7" t="s">
        <v>32</v>
      </c>
      <c r="G11" s="8">
        <v>0.1</v>
      </c>
      <c r="H11" s="7" t="s">
        <v>22</v>
      </c>
      <c r="I11" s="8">
        <f>SUM($G$6:G11)</f>
        <v>0.9</v>
      </c>
      <c r="J11" s="9">
        <f>$D$15*G11</f>
        <v>13522</v>
      </c>
      <c r="K11" s="9">
        <f>J11*0.01</f>
        <v>135.22</v>
      </c>
      <c r="L11" s="9">
        <f>J11*0.05</f>
        <v>676.1</v>
      </c>
    </row>
    <row r="12" spans="1:12" x14ac:dyDescent="0.25">
      <c r="A12" s="7" t="s">
        <v>33</v>
      </c>
      <c r="B12" s="7" t="s">
        <v>34</v>
      </c>
      <c r="C12" s="7" t="s">
        <v>35</v>
      </c>
      <c r="D12" s="7">
        <v>1</v>
      </c>
      <c r="F12" s="7" t="s">
        <v>36</v>
      </c>
      <c r="G12" s="8">
        <v>0.05</v>
      </c>
      <c r="H12" s="7" t="s">
        <v>22</v>
      </c>
      <c r="I12" s="8">
        <f>SUM($G$6:G12)</f>
        <v>0.95</v>
      </c>
      <c r="J12" s="9">
        <f>$D$15*G12</f>
        <v>6761</v>
      </c>
      <c r="K12" s="9">
        <f>J12*0.01</f>
        <v>67.61</v>
      </c>
      <c r="L12" s="9">
        <f>J12*0.05</f>
        <v>338.05</v>
      </c>
    </row>
    <row r="13" spans="1:12" x14ac:dyDescent="0.25">
      <c r="B13" s="7" t="s">
        <v>37</v>
      </c>
      <c r="C13" s="7" t="s">
        <v>30</v>
      </c>
      <c r="D13" s="9">
        <v>105060</v>
      </c>
      <c r="F13" s="7" t="s">
        <v>38</v>
      </c>
      <c r="G13" s="8">
        <v>0.05</v>
      </c>
      <c r="H13" s="7" t="s">
        <v>22</v>
      </c>
      <c r="I13" s="8">
        <f>SUM($G$6:G13)</f>
        <v>1</v>
      </c>
      <c r="J13" s="9">
        <f>$D$15*G13</f>
        <v>6761</v>
      </c>
      <c r="K13" s="9">
        <f>J13*0.01</f>
        <v>67.61</v>
      </c>
      <c r="L13" s="9">
        <f>J13*0.05</f>
        <v>338.05</v>
      </c>
    </row>
    <row r="14" spans="1:12" x14ac:dyDescent="0.25">
      <c r="F14" s="7"/>
      <c r="G14" s="7"/>
      <c r="H14" s="7"/>
      <c r="I14" s="7"/>
      <c r="J14" s="7"/>
      <c r="K14" s="7"/>
      <c r="L14" s="7"/>
    </row>
    <row r="15" spans="1:12" x14ac:dyDescent="0.25">
      <c r="A15" s="7" t="s">
        <v>39</v>
      </c>
      <c r="B15" s="4" t="s">
        <v>40</v>
      </c>
      <c r="C15" s="7" t="s">
        <v>30</v>
      </c>
      <c r="D15" s="10">
        <f>D10+D13</f>
        <v>135220</v>
      </c>
      <c r="F15" s="7"/>
      <c r="G15" s="7"/>
      <c r="H15" s="7"/>
      <c r="I15" s="7"/>
      <c r="J15" s="7"/>
      <c r="K15" s="7"/>
      <c r="L15" s="7"/>
    </row>
    <row r="16" spans="6:12" x14ac:dyDescent="0.25">
      <c r="F16" s="7"/>
      <c r="G16" s="7"/>
      <c r="H16" s="7"/>
      <c r="I16" s="7"/>
      <c r="J16" s="7"/>
      <c r="K16" s="7"/>
      <c r="L16" s="7"/>
    </row>
    <row r="17" spans="1:12" x14ac:dyDescent="0.25">
      <c r="A17" s="4" t="s">
        <v>41</v>
      </c>
      <c r="B17" s="4"/>
      <c r="C17" s="4"/>
      <c r="D17" s="4"/>
      <c r="F17" s="7"/>
      <c r="G17" s="7"/>
      <c r="H17" s="7"/>
      <c r="I17" s="7"/>
      <c r="J17" s="7"/>
      <c r="K17" s="7"/>
      <c r="L17" s="7"/>
    </row>
    <row r="18" spans="1:12" x14ac:dyDescent="0.25">
      <c r="A18" s="7">
        <v>1</v>
      </c>
      <c r="B18" s="7" t="s">
        <v>42</v>
      </c>
      <c r="C18" s="7" t="s">
        <v>30</v>
      </c>
      <c r="D18" s="9">
        <f>D15*0.05</f>
        <v>6761</v>
      </c>
      <c r="F18" s="7"/>
      <c r="G18" s="7"/>
      <c r="H18" s="7"/>
      <c r="I18" s="7"/>
      <c r="J18" s="7"/>
      <c r="K18" s="7"/>
      <c r="L18" s="7"/>
    </row>
    <row r="19" spans="1:12" x14ac:dyDescent="0.25">
      <c r="A19" s="7">
        <v>2</v>
      </c>
      <c r="B19" s="7" t="s">
        <v>43</v>
      </c>
      <c r="C19" s="7" t="s">
        <v>30</v>
      </c>
      <c r="D19" s="9">
        <f>D15*0.06</f>
        <v>8113.2</v>
      </c>
      <c r="F19" s="7"/>
      <c r="G19" s="7"/>
      <c r="H19" s="7"/>
      <c r="I19" s="7"/>
      <c r="J19" s="7"/>
      <c r="K19" s="7"/>
      <c r="L19" s="7"/>
    </row>
    <row r="20" spans="1:12" x14ac:dyDescent="0.25">
      <c r="A20" s="7">
        <v>3</v>
      </c>
      <c r="B20" s="7" t="s">
        <v>44</v>
      </c>
      <c r="C20" s="7" t="s">
        <v>30</v>
      </c>
      <c r="D20" s="9">
        <v>48512</v>
      </c>
      <c r="F20" s="7"/>
      <c r="G20" s="7"/>
      <c r="H20" s="7"/>
      <c r="I20" s="7"/>
      <c r="J20" s="7"/>
      <c r="K20" s="7"/>
      <c r="L20" s="7"/>
    </row>
    <row r="21" spans="1:12" x14ac:dyDescent="0.25">
      <c r="A21" s="7">
        <v>4</v>
      </c>
      <c r="B21" s="7" t="s">
        <v>45</v>
      </c>
      <c r="C21" s="7" t="s">
        <v>30</v>
      </c>
      <c r="D21" s="9">
        <v>58201</v>
      </c>
      <c r="F21" s="7"/>
      <c r="G21" s="7"/>
      <c r="H21" s="7"/>
      <c r="I21" s="7"/>
      <c r="J21" s="7"/>
      <c r="K21" s="7"/>
      <c r="L21" s="7"/>
    </row>
    <row r="22" spans="1:12" x14ac:dyDescent="0.25">
      <c r="A22" s="7">
        <v>5</v>
      </c>
      <c r="B22" s="7" t="s">
        <v>46</v>
      </c>
      <c r="C22" s="7" t="s">
        <v>30</v>
      </c>
      <c r="D22" s="9">
        <v>25103</v>
      </c>
      <c r="F22" s="7"/>
      <c r="G22" s="7"/>
      <c r="H22" s="7"/>
      <c r="I22" s="7"/>
      <c r="J22" s="7"/>
      <c r="K22" s="7"/>
      <c r="L22" s="7"/>
    </row>
    <row r="23" spans="1:12" x14ac:dyDescent="0.25">
      <c r="A23" s="7" t="s">
        <v>47</v>
      </c>
      <c r="B23" s="4" t="s">
        <v>48</v>
      </c>
      <c r="C23" s="7" t="s">
        <v>30</v>
      </c>
      <c r="D23" s="10">
        <f>SUM(D18:D22)</f>
        <v>146690.2</v>
      </c>
      <c r="F23" s="7"/>
      <c r="G23" s="7"/>
      <c r="H23" s="7"/>
      <c r="I23" s="7"/>
      <c r="J23" s="7"/>
      <c r="K23" s="7"/>
      <c r="L23" s="7"/>
    </row>
    <row r="24" spans="1:12" x14ac:dyDescent="0.25">
      <c r="A24" s="11" t="s">
        <v>49</v>
      </c>
      <c r="B24" s="11" t="s">
        <v>50</v>
      </c>
      <c r="C24" s="11" t="s">
        <v>30</v>
      </c>
      <c r="D24" s="12">
        <f>D15+D23</f>
        <v>281910.2</v>
      </c>
      <c r="F24" s="11" t="s">
        <v>51</v>
      </c>
      <c r="G24" s="11"/>
      <c r="H24" s="11"/>
      <c r="I24" s="13">
        <f>SUM(G6:G13)</f>
        <v>1</v>
      </c>
      <c r="J24" s="12">
        <f>SUM(J6:J13)</f>
        <v>135220</v>
      </c>
      <c r="K24" s="12">
        <f>SUM(K6:K13)</f>
        <v>1352.2</v>
      </c>
      <c r="L24" s="12">
        <f>SUM(L6:L13)</f>
        <v>6761</v>
      </c>
    </row>
    <row r="25" spans="6:12" x14ac:dyDescent="0.25">
      <c r="F25" s="14" t="s">
        <v>52</v>
      </c>
      <c r="G25" s="14"/>
      <c r="H25" s="14"/>
      <c r="I25" s="14"/>
      <c r="J25" s="14"/>
      <c r="K25" s="14"/>
      <c r="L25" s="14"/>
    </row>
    <row r="26" spans="2:12" x14ac:dyDescent="0.25">
      <c r="B26" s="15" t="s">
        <v>53</v>
      </c>
      <c r="C26" s="15"/>
      <c r="D26" s="15"/>
      <c r="F26" s="14"/>
      <c r="G26" s="14"/>
      <c r="H26" s="14"/>
      <c r="I26" s="14"/>
      <c r="J26" s="14"/>
      <c r="K26" s="14"/>
      <c r="L26" s="14"/>
    </row>
    <row r="30" spans="2:4" x14ac:dyDescent="0.25">
      <c r="B30" s="15" t="s">
        <v>54</v>
      </c>
      <c r="C30" s="15"/>
      <c r="D30" s="15"/>
    </row>
    <row r="32" spans="1:4" x14ac:dyDescent="0.25">
      <c r="A32" s="4" t="s">
        <v>55</v>
      </c>
      <c r="B32" s="4"/>
      <c r="C32" s="4"/>
      <c r="D32" s="4"/>
    </row>
    <row r="33" spans="1:4" x14ac:dyDescent="0.25">
      <c r="A33" s="4" t="s">
        <v>56</v>
      </c>
      <c r="B33" s="16" t="s">
        <v>57</v>
      </c>
      <c r="C33" s="16"/>
      <c r="D33" s="16"/>
    </row>
    <row r="34" spans="1:4" x14ac:dyDescent="0.25">
      <c r="A34" s="4" t="s">
        <v>58</v>
      </c>
      <c r="B34" s="7"/>
      <c r="C34" s="4" t="s">
        <v>59</v>
      </c>
      <c r="D34" s="7" t="s">
        <v>60</v>
      </c>
    </row>
    <row r="36" spans="1:12" x14ac:dyDescent="0.25">
      <c r="A36" s="17" t="s">
        <v>61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</row>
  </sheetData>
  <mergeCells count="14">
    <mergeCell ref="A1:L1"/>
    <mergeCell ref="A2:L2"/>
    <mergeCell ref="F3:L3"/>
    <mergeCell ref="C4:D4"/>
    <mergeCell ref="F4:L4"/>
    <mergeCell ref="C5:D5"/>
    <mergeCell ref="A17:D17"/>
    <mergeCell ref="F24:H24"/>
    <mergeCell ref="F25:L26"/>
    <mergeCell ref="B26:D26"/>
    <mergeCell ref="B30:D30"/>
    <mergeCell ref="A32:D32"/>
    <mergeCell ref="B33:D33"/>
    <mergeCell ref="A36:L3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Sheet &amp; Payment 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SWAMI CRM</dc:creator>
  <dc:title/>
  <dc:subject/>
  <dc:description/>
  <cp:keywords/>
  <cp:category/>
  <cp:lastModifiedBy>SWAMI CRM</cp:lastModifiedBy>
  <dcterms:created xsi:type="dcterms:W3CDTF">2026-09-23T06:04:07Z</dcterms:created>
  <dcterms:modified xsi:type="dcterms:W3CDTF">2026-09-23T06:04:07Z</dcterms:modified>
</cp:coreProperties>
</file>