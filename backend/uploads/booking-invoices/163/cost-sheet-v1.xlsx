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hidden" r:id="rId4"/>
    <sheet sheetId="2" name="Cost Sheet &amp; Payment Schedule" state="visible" r:id="rId5"/>
  </sheets>
  <calcPr calcId="171027"/>
</workbook>
</file>

<file path=xl/sharedStrings.xml><?xml version="1.0" encoding="utf-8"?>
<sst xmlns="http://schemas.openxmlformats.org/spreadsheetml/2006/main" count="78" uniqueCount="64">
  <si>
    <t>Payment Basis</t>
  </si>
  <si>
    <t>GST Rate</t>
  </si>
  <si>
    <t>TDS Rate</t>
  </si>
  <si>
    <t>Stamp Duty Rate</t>
  </si>
  <si>
    <t>Project Name: "TRIRATNA"</t>
  </si>
  <si>
    <t>Plot No. 164, RDP-7, Part-II, Sector-3, Charkop, Kandivali (West), Mumbai - 400067</t>
  </si>
  <si>
    <t>Expression of Interest in Proposed Self-Redevelopment</t>
  </si>
  <si>
    <t>Available Flat</t>
  </si>
  <si>
    <t>2102</t>
  </si>
  <si>
    <t>Payment Schedule For : 2102</t>
  </si>
  <si>
    <t>Configuration</t>
  </si>
  <si>
    <t>FP-7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</si>
  <si>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</si>
  <si>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</si>
  <si>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</si>
  <si>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</si>
  <si>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</si>
  <si>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</si>
  <si>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</si>
  <si>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</si>
  <si>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</si>
  <si>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</si>
  <si>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</si>
  <si>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</si>
  <si>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</si>
  <si>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</si>
  <si>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</si>
  <si>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</si>
  <si>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</si>
  <si>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</si>
  <si>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</si>
  <si>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</si>
  <si>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</si>
  <si>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</si>
  <si>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</si>
  <si>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</si>
  <si>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</si>
  <si>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</si>
  <si>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</si>
  <si>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</si>
  <si>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</si>
  <si>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</si>
  <si>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</si>
  <si>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</si>
  <si>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</si>
  <si>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</si>
  <si>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</si>
  <si>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</si>
  <si>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Registration Charges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</si>
  <si>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</si>
  <si>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</si>
  <si>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</si>
  <si>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</si>
  <si>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</si>
  <si>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</si>
  <si>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TRIRATNA</t>
  </si>
  <si>
    <t>Authorised Signatory</t>
  </si>
  <si>
    <t>I/We hear by accept and confirm the terms</t>
  </si>
  <si>
    <t>Name</t>
  </si>
  <si>
    <t>mcube k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</si>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</sst>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>
        <v>17954250</v>
      </c>
    </row>
    <row r="2" spans="1:2" x14ac:dyDescent="0.25">
      <c r="A2" t="s">
        <v>1</v>
      </c>
      <c r="B2">
        <v>0.05</v>
      </c>
    </row>
    <row r="3" spans="1:2" x14ac:dyDescent="0.25">
      <c r="A3" t="s">
        <v>2</v>
      </c>
      <c r="B3">
        <v>0.01</v>
      </c>
    </row>
    <row r="4" spans="1:2" x14ac:dyDescent="0.25">
      <c r="A4" t="s">
        <v>3</v>
      </c>
      <c r="B4">
        <v>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6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7</v>
      </c>
      <c r="C4" s="4" t="s">
        <v>8</v>
      </c>
      <c r="D4" s="4"/>
      <c r="F4" s="5" t="s">
        <v>9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10</v>
      </c>
      <c r="C5" s="4" t="s">
        <v>11</v>
      </c>
      <c r="D5" s="4"/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</row>
    <row r="6" spans="3:12" x14ac:dyDescent="0.25">
      <c r="C6" s="4" t="s">
        <v>19</v>
      </c>
      <c r="D6" s="4" t="s">
        <v>16</v>
      </c>
      <c r="F6" s="7" t="s">
        <v>20</v>
      </c>
      <c r="G6" s="8">
        <v>0.1</v>
      </c>
      <c r="H6" s="7" t="s">
        <v>21</v>
      </c>
      <c r="I6" s="8">
        <f>SUM($G$6:G6)</f>
        <v>0.1</v>
      </c>
      <c r="J6" s="9">
        <f>Config!B1*G6</f>
        <v>1795425</v>
      </c>
      <c r="K6" s="9">
        <f>J6*Config!B3</f>
        <v>17954.25</v>
      </c>
      <c r="L6" s="9">
        <f>J6*Config!B2</f>
        <v>89771.25</v>
      </c>
    </row>
    <row r="7" spans="1:12" x14ac:dyDescent="0.25">
      <c r="A7" s="7" t="s">
        <v>22</v>
      </c>
      <c r="B7" s="7" t="s">
        <v>23</v>
      </c>
      <c r="C7" s="7" t="s">
        <v>24</v>
      </c>
      <c r="D7" s="9">
        <v>718.17</v>
      </c>
      <c r="F7" s="7" t="s">
        <v>25</v>
      </c>
      <c r="G7" s="8">
        <v>0.2</v>
      </c>
      <c r="H7" s="7" t="s">
        <v>26</v>
      </c>
      <c r="I7" s="8">
        <f>SUM($G$6:G7)</f>
        <v>0.3</v>
      </c>
      <c r="J7" s="9">
        <f>Config!B1*G7</f>
        <v>3590850</v>
      </c>
      <c r="K7" s="9">
        <f>J7*Config!B3</f>
        <v>35908.5</v>
      </c>
      <c r="L7" s="9">
        <f>J7*Config!B2</f>
        <v>179542.5</v>
      </c>
    </row>
    <row r="8" spans="1:12" x14ac:dyDescent="0.25">
      <c r="A8" s="7" t="s">
        <v>27</v>
      </c>
      <c r="B8" s="7" t="s">
        <v>28</v>
      </c>
      <c r="C8" s="7" t="s">
        <v>29</v>
      </c>
      <c r="D8" s="9">
        <v>25000</v>
      </c>
      <c r="F8" s="7" t="s">
        <v>30</v>
      </c>
      <c r="G8" s="8">
        <v>0.15</v>
      </c>
      <c r="H8" s="7" t="s">
        <v>26</v>
      </c>
      <c r="I8" s="8">
        <f>SUM($G$6:G8)</f>
        <v>0.45</v>
      </c>
      <c r="J8" s="9">
        <f>Config!B1*G8</f>
        <v>2693137.5</v>
      </c>
      <c r="K8" s="9">
        <f>J8*Config!B3</f>
        <v>26931.38</v>
      </c>
      <c r="L8" s="9">
        <f>J8*Config!B2</f>
        <v>134656.88</v>
      </c>
    </row>
    <row r="9" spans="1:12" x14ac:dyDescent="0.25">
      <c r="F9" s="7" t="s">
        <v>31</v>
      </c>
      <c r="G9" s="8">
        <v>0.25</v>
      </c>
      <c r="H9" s="7" t="s">
        <v>26</v>
      </c>
      <c r="I9" s="8">
        <f>SUM($G$6:G9)</f>
        <v>0.7</v>
      </c>
      <c r="J9" s="9">
        <f>Config!B1*G9</f>
        <v>4488562.5</v>
      </c>
      <c r="K9" s="9">
        <f>J9*Config!B3</f>
        <v>44885.63</v>
      </c>
      <c r="L9" s="9">
        <f>J9*Config!B2</f>
        <v>224428.13</v>
      </c>
    </row>
    <row r="10" spans="1:12" x14ac:dyDescent="0.25">
      <c r="A10" s="7" t="s">
        <v>32</v>
      </c>
      <c r="B10" s="4" t="s">
        <v>33</v>
      </c>
      <c r="C10" s="7" t="s">
        <v>34</v>
      </c>
      <c r="D10" s="10">
        <f>D7*D8</f>
        <v>17954250</v>
      </c>
      <c r="F10" s="7" t="s">
        <v>35</v>
      </c>
      <c r="G10" s="8">
        <v>0.1</v>
      </c>
      <c r="H10" s="7" t="s">
        <v>26</v>
      </c>
      <c r="I10" s="8">
        <f>SUM($G$6:G10)</f>
        <v>0.8</v>
      </c>
      <c r="J10" s="9">
        <f>Config!B1*G10</f>
        <v>1795425</v>
      </c>
      <c r="K10" s="9">
        <f>J10*Config!B3</f>
        <v>17954.25</v>
      </c>
      <c r="L10" s="9">
        <f>J10*Config!B2</f>
        <v>89771.25</v>
      </c>
    </row>
    <row r="11" spans="1:12" x14ac:dyDescent="0.25">
      <c r="F11" s="7" t="s">
        <v>36</v>
      </c>
      <c r="G11" s="8">
        <v>0.1</v>
      </c>
      <c r="H11" s="7" t="s">
        <v>26</v>
      </c>
      <c r="I11" s="8">
        <f>SUM($G$6:G11)</f>
        <v>0.9</v>
      </c>
      <c r="J11" s="9">
        <f>Config!B1*G11</f>
        <v>1795425</v>
      </c>
      <c r="K11" s="9">
        <f>J11*Config!B3</f>
        <v>17954.25</v>
      </c>
      <c r="L11" s="9">
        <f>J11*Config!B2</f>
        <v>89771.25</v>
      </c>
    </row>
    <row r="12" spans="1:12" x14ac:dyDescent="0.25">
      <c r="A12" s="7" t="s">
        <v>37</v>
      </c>
      <c r="B12" s="7" t="s">
        <v>38</v>
      </c>
      <c r="C12" s="7" t="s">
        <v>39</v>
      </c>
      <c r="D12" s="7">
        <v>0</v>
      </c>
      <c r="F12" s="7" t="s">
        <v>40</v>
      </c>
      <c r="G12" s="8">
        <v>0.05</v>
      </c>
      <c r="H12" s="7" t="s">
        <v>26</v>
      </c>
      <c r="I12" s="8">
        <f>SUM($G$6:G12)</f>
        <v>0.95</v>
      </c>
      <c r="J12" s="9">
        <f>Config!B1*G12</f>
        <v>897712.5</v>
      </c>
      <c r="K12" s="9">
        <f>J12*Config!B3</f>
        <v>8977.13</v>
      </c>
      <c r="L12" s="9">
        <f>J12*Config!B2</f>
        <v>44885.63</v>
      </c>
    </row>
    <row r="13" spans="1:12" x14ac:dyDescent="0.25">
      <c r="B13" s="7" t="s">
        <v>41</v>
      </c>
      <c r="C13" s="7" t="s">
        <v>34</v>
      </c>
      <c r="D13" s="9">
        <v>0</v>
      </c>
      <c r="F13" s="7" t="s">
        <v>42</v>
      </c>
      <c r="G13" s="8">
        <v>0.05</v>
      </c>
      <c r="H13" s="7" t="s">
        <v>26</v>
      </c>
      <c r="I13" s="8">
        <f>SUM($G$6:G13)</f>
        <v>1</v>
      </c>
      <c r="J13" s="9">
        <f>Config!B1*G13</f>
        <v>897712.5</v>
      </c>
      <c r="K13" s="9">
        <f>J13*Config!B3</f>
        <v>8977.13</v>
      </c>
      <c r="L13" s="9">
        <f>J13*Config!B2</f>
        <v>44885.63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43</v>
      </c>
      <c r="B15" s="4" t="s">
        <v>44</v>
      </c>
      <c r="C15" s="7" t="s">
        <v>34</v>
      </c>
      <c r="D15" s="10">
        <f>D10+D13</f>
        <v>17954250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45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46</v>
      </c>
      <c r="C18" s="7" t="s">
        <v>34</v>
      </c>
      <c r="D18" s="9">
        <f>D15*Config!B2</f>
        <v>897712.5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47</v>
      </c>
      <c r="C19" s="7" t="s">
        <v>34</v>
      </c>
      <c r="D19" s="9">
        <f>D15*Config!B4</f>
        <v>1077255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48</v>
      </c>
      <c r="C20" s="7" t="s">
        <v>34</v>
      </c>
      <c r="D20" s="9">
        <v>3000</v>
      </c>
      <c r="F20" s="7"/>
      <c r="G20" s="7"/>
      <c r="H20" s="7"/>
      <c r="I20" s="7"/>
      <c r="J20" s="7"/>
      <c r="K20" s="7"/>
      <c r="L20" s="7"/>
    </row>
    <row r="21" spans="1:12" x14ac:dyDescent="0.25">
      <c r="A21" s="7" t="s">
        <v>49</v>
      </c>
      <c r="B21" s="4" t="s">
        <v>50</v>
      </c>
      <c r="C21" s="7" t="s">
        <v>34</v>
      </c>
      <c r="D21" s="10">
        <f>SUM(D18:D20)</f>
        <v>1977967.5</v>
      </c>
      <c r="F21" s="7"/>
      <c r="G21" s="7"/>
      <c r="H21" s="7"/>
      <c r="I21" s="7"/>
      <c r="J21" s="7"/>
      <c r="K21" s="7"/>
      <c r="L21" s="7"/>
    </row>
    <row r="22" spans="6:12" x14ac:dyDescent="0.25">
      <c r="F22" s="7"/>
      <c r="G22" s="7"/>
      <c r="H22" s="7"/>
      <c r="I22" s="7"/>
      <c r="J22" s="7"/>
      <c r="K22" s="7"/>
      <c r="L22" s="7"/>
    </row>
    <row r="23" spans="1:12" x14ac:dyDescent="0.25">
      <c r="A23" s="11" t="s">
        <v>51</v>
      </c>
      <c r="B23" s="11" t="s">
        <v>52</v>
      </c>
      <c r="C23" s="11" t="s">
        <v>34</v>
      </c>
      <c r="D23" s="12">
        <f>D15+D21</f>
        <v>19932217.5</v>
      </c>
      <c r="F23" s="11" t="s">
        <v>53</v>
      </c>
      <c r="G23" s="11"/>
      <c r="H23" s="11"/>
      <c r="I23" s="13">
        <f>SUM(G6:G13)</f>
        <v>1</v>
      </c>
      <c r="J23" s="12">
        <f>SUM(J6:J13)</f>
        <v>17954250</v>
      </c>
      <c r="K23" s="12">
        <f>SUM(K6:K13)</f>
        <v>179542.52</v>
      </c>
      <c r="L23" s="12">
        <f>SUM(L6:L13)</f>
        <v>897712.52</v>
      </c>
    </row>
    <row r="24" spans="6:12" x14ac:dyDescent="0.25">
      <c r="F24" s="14" t="s">
        <v>54</v>
      </c>
      <c r="G24" s="14"/>
      <c r="H24" s="14"/>
      <c r="I24" s="14"/>
      <c r="J24" s="14"/>
      <c r="K24" s="14"/>
      <c r="L24" s="14"/>
    </row>
    <row r="25" spans="2:12" x14ac:dyDescent="0.25">
      <c r="B25" s="15" t="s">
        <v>55</v>
      </c>
      <c r="C25" s="15"/>
      <c r="D25" s="15"/>
      <c r="F25" s="14"/>
      <c r="G25" s="14"/>
      <c r="H25" s="14"/>
      <c r="I25" s="14"/>
      <c r="J25" s="14"/>
      <c r="K25" s="14"/>
      <c r="L25" s="14"/>
    </row>
    <row r="29" spans="2:4" x14ac:dyDescent="0.25">
      <c r="B29" s="15" t="s">
        <v>56</v>
      </c>
      <c r="C29" s="15"/>
      <c r="D29" s="15"/>
    </row>
    <row r="31" spans="1:4" x14ac:dyDescent="0.25">
      <c r="A31" s="4" t="s">
        <v>57</v>
      </c>
      <c r="B31" s="4"/>
      <c r="C31" s="4"/>
      <c r="D31" s="4"/>
    </row>
    <row r="32" spans="1:4" x14ac:dyDescent="0.25">
      <c r="A32" s="4" t="s">
        <v>58</v>
      </c>
      <c r="B32" s="16" t="s">
        <v>59</v>
      </c>
      <c r="C32" s="16"/>
      <c r="D32" s="16"/>
    </row>
    <row r="33" spans="1:4" x14ac:dyDescent="0.25">
      <c r="A33" s="4" t="s">
        <v>60</v>
      </c>
      <c r="B33" s="7"/>
      <c r="C33" s="4" t="s">
        <v>61</v>
      </c>
      <c r="D33" s="7" t="s">
        <v>62</v>
      </c>
    </row>
    <row r="35" spans="1:12" x14ac:dyDescent="0.25">
      <c r="A35" s="17" t="s">
        <v>63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3:H23"/>
    <mergeCell ref="F24:L25"/>
    <mergeCell ref="B25:D25"/>
    <mergeCell ref="B29:D29"/>
    <mergeCell ref="A31:D31"/>
    <mergeCell ref="B32:D32"/>
    <mergeCell ref="A35:L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2026-09-22T07:31:25Z</dcterms:created>
  <dcterms:modified xsi:type="dcterms:W3CDTF">2026-09-22T07:31:25Z</dcterms:modified>
</cp:coreProperties>
</file>